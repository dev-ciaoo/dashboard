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880d9aedcd507c/Desktop/"/>
    </mc:Choice>
  </mc:AlternateContent>
  <xr:revisionPtr revIDLastSave="2" documentId="8_{BAE489B7-07C1-4867-B4C1-B38E2DB5E254}" xr6:coauthVersionLast="47" xr6:coauthVersionMax="47" xr10:uidLastSave="{98DBCBB5-A937-4872-8FA1-FADB79A7FA24}"/>
  <bookViews>
    <workbookView xWindow="-120" yWindow="-120" windowWidth="21840" windowHeight="13020" firstSheet="1" activeTab="1" xr2:uid="{4A22891B-6ABA-443F-AB92-E4D477A9E989}"/>
  </bookViews>
  <sheets>
    <sheet name="Sheet2" sheetId="2" state="hidden" r:id="rId1"/>
    <sheet name="CASH_BLOTTER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4" i="1" l="1"/>
  <c r="D13" i="1"/>
  <c r="D34" i="1" s="1"/>
  <c r="D35" i="1" s="1"/>
  <c r="A9" i="1"/>
</calcChain>
</file>

<file path=xl/sharedStrings.xml><?xml version="1.0" encoding="utf-8"?>
<sst xmlns="http://schemas.openxmlformats.org/spreadsheetml/2006/main" count="48" uniqueCount="44">
  <si>
    <t xml:space="preserve">  OUR BANK</t>
  </si>
  <si>
    <t>One Unified Rural Bank of Cavite, Inc.</t>
  </si>
  <si>
    <t xml:space="preserve">                                              HEAD OFFICE - Tejero</t>
  </si>
  <si>
    <t>CASHIER/TELLER'S BLOTTER</t>
  </si>
  <si>
    <t>RECEIPTS</t>
  </si>
  <si>
    <t>PARTICULARS</t>
  </si>
  <si>
    <t>PAYMENTS</t>
  </si>
  <si>
    <t>Beginning Balance</t>
  </si>
  <si>
    <t>Cash given to Teller</t>
  </si>
  <si>
    <t>Cash received from Teller</t>
  </si>
  <si>
    <t>Additional cash to Teller</t>
  </si>
  <si>
    <t>Cash deposit to UCPB-CASA</t>
  </si>
  <si>
    <t>CIS-Bayad Center-H.O.</t>
  </si>
  <si>
    <t>Sub-total:</t>
  </si>
  <si>
    <t>Fund transfer from BDO-CEPZ</t>
  </si>
  <si>
    <t>Cash from Teller</t>
  </si>
  <si>
    <t>Fund transfer to UCPB-CASA-Tanza</t>
  </si>
  <si>
    <t>Check Encashment - UCPB</t>
  </si>
  <si>
    <t>Check Encashment - ChinaBank-CASA</t>
  </si>
  <si>
    <r>
      <t>CC#111298(</t>
    </r>
    <r>
      <rPr>
        <b/>
        <sz val="10"/>
        <rFont val="Arial"/>
        <family val="2"/>
      </rPr>
      <t>BayadCenter remittances</t>
    </r>
    <r>
      <rPr>
        <b/>
        <sz val="14"/>
        <rFont val="Arial"/>
        <family val="2"/>
      </rPr>
      <t>)</t>
    </r>
  </si>
  <si>
    <t>Cash Transfer to POBLACION Branch</t>
  </si>
  <si>
    <t>Cash from Branch</t>
  </si>
  <si>
    <t>Cash TO Branches:</t>
  </si>
  <si>
    <t>Cash to  Branch-POBLACION</t>
  </si>
  <si>
    <t xml:space="preserve">Poblacion </t>
  </si>
  <si>
    <t>Cash to  Branch-MANGGAHAN</t>
  </si>
  <si>
    <t>Manggahan</t>
  </si>
  <si>
    <t>Cash to  Branch-NOVELETA TA#</t>
  </si>
  <si>
    <t>Maragondon</t>
  </si>
  <si>
    <t xml:space="preserve">Cash to  Branch-MARAGONDON </t>
  </si>
  <si>
    <t xml:space="preserve"> </t>
  </si>
  <si>
    <t>Magallanes</t>
  </si>
  <si>
    <t xml:space="preserve">Cash to  Branch-TERNATE </t>
  </si>
  <si>
    <t>Ternate</t>
  </si>
  <si>
    <t>Cash to  Branch-MAGALLANES</t>
  </si>
  <si>
    <t>Total:</t>
  </si>
  <si>
    <t>Ending Balance</t>
  </si>
  <si>
    <t>PREPARED by:</t>
  </si>
  <si>
    <t>CERTIFIED CORRECT by:</t>
  </si>
  <si>
    <t>PERLITA S. NERONA</t>
  </si>
  <si>
    <t>Branch Manager</t>
  </si>
  <si>
    <t xml:space="preserve">  H.O.-Tejero</t>
  </si>
  <si>
    <t>RITCHIE L. ARCILLA</t>
  </si>
  <si>
    <t>Branch Cashier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</si>
</sst>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mmmm\ d\,\ yyyy;@"/>
    <numFmt numFmtId="165" formatCode="_(* #,##0.00_);_(* \(#,##0.0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i/>
      <sz val="11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sz val="11"/>
      <name val="Arial"/>
      <family val="2"/>
    </font>
    <font>
      <sz val="11"/>
      <name val="Calibri"/>
      <family val="2"/>
      <charset val="134"/>
    </font>
    <font>
      <b/>
      <sz val="10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sz val="11"/>
      <name val="Calibri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3" fillId="0" borderId="1" xfId="0" quotePrefix="1" applyNumberFormat="1" applyFont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2" fillId="0" borderId="2" xfId="0" applyFont="1" applyBorder="1" applyAlignment="1">
      <alignment horizontal="center"/>
    </xf>
    <xf numFmtId="43" fontId="7" fillId="0" borderId="3" xfId="1" applyFont="1" applyBorder="1" applyAlignment="1"/>
    <xf numFmtId="0" fontId="3" fillId="0" borderId="4" xfId="0" applyFont="1" applyBorder="1"/>
    <xf numFmtId="43" fontId="8" fillId="0" borderId="5" xfId="1" applyFont="1" applyBorder="1" applyAlignment="1"/>
    <xf numFmtId="0" fontId="4" fillId="0" borderId="5" xfId="0" applyFont="1" applyBorder="1" applyAlignment="1">
      <alignment shrinkToFit="1"/>
    </xf>
    <xf numFmtId="0" fontId="3" fillId="0" borderId="5" xfId="0" applyFont="1" applyBorder="1"/>
    <xf numFmtId="0" fontId="3" fillId="0" borderId="5" xfId="0" applyFont="1" applyBorder="1" applyAlignment="1">
      <alignment shrinkToFit="1"/>
    </xf>
    <xf numFmtId="43" fontId="9" fillId="0" borderId="5" xfId="1" applyFont="1" applyBorder="1" applyAlignment="1"/>
    <xf numFmtId="0" fontId="6" fillId="0" borderId="3" xfId="0" applyFont="1" applyBorder="1"/>
    <xf numFmtId="165" fontId="9" fillId="0" borderId="5" xfId="0" applyNumberFormat="1" applyFont="1" applyBorder="1"/>
    <xf numFmtId="0" fontId="4" fillId="0" borderId="5" xfId="0" applyFont="1" applyBorder="1"/>
    <xf numFmtId="43" fontId="9" fillId="0" borderId="5" xfId="1" applyFont="1" applyBorder="1" applyAlignment="1">
      <alignment horizontal="center"/>
    </xf>
    <xf numFmtId="43" fontId="10" fillId="0" borderId="0" xfId="1" applyFont="1" applyBorder="1" applyAlignment="1"/>
    <xf numFmtId="0" fontId="11" fillId="0" borderId="5" xfId="0" applyFont="1" applyBorder="1"/>
    <xf numFmtId="0" fontId="3" fillId="0" borderId="5" xfId="0" quotePrefix="1" applyFont="1" applyBorder="1" applyAlignment="1">
      <alignment shrinkToFit="1"/>
    </xf>
    <xf numFmtId="49" fontId="11" fillId="0" borderId="0" xfId="0" applyNumberFormat="1" applyFont="1" applyAlignment="1">
      <alignment horizontal="left"/>
    </xf>
    <xf numFmtId="43" fontId="12" fillId="0" borderId="5" xfId="1" applyFont="1" applyBorder="1" applyAlignment="1">
      <alignment horizontal="center"/>
    </xf>
    <xf numFmtId="0" fontId="2" fillId="0" borderId="5" xfId="0" applyFont="1" applyBorder="1"/>
    <xf numFmtId="49" fontId="13" fillId="0" borderId="0" xfId="0" applyNumberFormat="1" applyFont="1" applyAlignment="1">
      <alignment horizontal="left"/>
    </xf>
    <xf numFmtId="43" fontId="4" fillId="0" borderId="5" xfId="1" applyFont="1" applyBorder="1" applyAlignment="1">
      <alignment horizontal="center"/>
    </xf>
    <xf numFmtId="0" fontId="2" fillId="0" borderId="3" xfId="0" applyFont="1" applyBorder="1"/>
    <xf numFmtId="0" fontId="4" fillId="0" borderId="0" xfId="0" quotePrefix="1" applyFont="1" applyAlignment="1">
      <alignment shrinkToFit="1"/>
    </xf>
    <xf numFmtId="49" fontId="11" fillId="0" borderId="5" xfId="0" applyNumberFormat="1" applyFont="1" applyBorder="1" applyAlignment="1">
      <alignment horizontal="center"/>
    </xf>
    <xf numFmtId="0" fontId="14" fillId="0" borderId="5" xfId="0" applyFont="1" applyBorder="1"/>
    <xf numFmtId="0" fontId="4" fillId="0" borderId="0" xfId="0" applyFont="1" applyAlignment="1">
      <alignment shrinkToFit="1"/>
    </xf>
    <xf numFmtId="0" fontId="9" fillId="0" borderId="5" xfId="0" applyFont="1" applyBorder="1"/>
    <xf numFmtId="0" fontId="11" fillId="0" borderId="5" xfId="0" applyFont="1" applyBorder="1" applyAlignment="1">
      <alignment horizontal="center"/>
    </xf>
    <xf numFmtId="43" fontId="4" fillId="0" borderId="5" xfId="1" applyFont="1" applyBorder="1" applyAlignment="1"/>
    <xf numFmtId="43" fontId="4" fillId="0" borderId="3" xfId="1" applyFont="1" applyBorder="1" applyAlignment="1"/>
    <xf numFmtId="165" fontId="2" fillId="0" borderId="0" xfId="0" applyNumberFormat="1" applyFont="1"/>
    <xf numFmtId="43" fontId="15" fillId="0" borderId="5" xfId="1" applyFont="1" applyBorder="1" applyAlignment="1">
      <alignment horizontal="center"/>
    </xf>
    <xf numFmtId="43" fontId="11" fillId="0" borderId="5" xfId="1" applyFont="1" applyBorder="1" applyAlignment="1">
      <alignment horizontal="center"/>
    </xf>
    <xf numFmtId="43" fontId="11" fillId="0" borderId="5" xfId="1" applyFont="1" applyBorder="1" applyAlignment="1"/>
    <xf numFmtId="165" fontId="7" fillId="0" borderId="5" xfId="0" applyNumberFormat="1" applyFont="1" applyBorder="1"/>
    <xf numFmtId="165" fontId="2" fillId="0" borderId="3" xfId="0" applyNumberFormat="1" applyFont="1" applyBorder="1"/>
    <xf numFmtId="43" fontId="3" fillId="0" borderId="6" xfId="1" applyFont="1" applyBorder="1" applyAlignment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43" fontId="3" fillId="0" borderId="0" xfId="1" applyFont="1" applyBorder="1" applyAlignment="1"/>
    <xf numFmtId="165" fontId="11" fillId="0" borderId="0" xfId="0" applyNumberFormat="1" applyFont="1"/>
    <xf numFmtId="0" fontId="11" fillId="0" borderId="0" xfId="0" applyFont="1"/>
    <xf numFmtId="0" fontId="13" fillId="0" borderId="0" xfId="0" applyFont="1"/>
    <xf numFmtId="0" fontId="11" fillId="0" borderId="1" xfId="0" applyFont="1" applyBorder="1"/>
    <xf numFmtId="0" fontId="9" fillId="0" borderId="0" xfId="0" applyFo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f880d9aedcd507c/Desktop/Cashier%20DAILY.xlsx" TargetMode="External"/><Relationship Id="rId1" Type="http://schemas.openxmlformats.org/officeDocument/2006/relationships/externalLinkPath" Target="Cashier%20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Chart2"/>
      <sheetName val="Chart4"/>
      <sheetName val="Chart6"/>
      <sheetName val="CashCountSheet"/>
      <sheetName val="TellerCashCount"/>
      <sheetName val="December_cashblotter"/>
      <sheetName val="January2022"/>
      <sheetName val="FEBRUARY_2022"/>
      <sheetName val="March2022"/>
      <sheetName val="April_2022"/>
      <sheetName val="Aug_2022"/>
      <sheetName val="C.I.V._AUGUST"/>
      <sheetName val="Sept_2022"/>
      <sheetName val="C.I.V._SEPT"/>
      <sheetName val="MAY_2022"/>
      <sheetName val="Sheet1"/>
      <sheetName val="June_2022"/>
      <sheetName val="July_2022"/>
      <sheetName val="COH_7.22"/>
      <sheetName val="OCT_2022"/>
      <sheetName val="C.I.V_OCT"/>
      <sheetName val="CCount Form"/>
      <sheetName val="NOV_2022"/>
      <sheetName val="CIV_NOV"/>
      <sheetName val="JAN_2023"/>
      <sheetName val="MARCH_2023"/>
      <sheetName val="Teller's-Acct."/>
      <sheetName val="Cash-turn-over"/>
      <sheetName val="Extra T.A."/>
      <sheetName val="Sheet3"/>
      <sheetName val="DEC_2022"/>
      <sheetName val="CIV_DEC"/>
      <sheetName val="APRIL_2023"/>
      <sheetName val="May_2023"/>
      <sheetName val="JUNE_2023"/>
      <sheetName val="JULY_2023"/>
      <sheetName val="AUGUST_2023"/>
      <sheetName val="JANUARY_2024"/>
      <sheetName val="APRIL_2025"/>
      <sheetName val="Transfer_slip-C"/>
      <sheetName val="FEB_2023"/>
      <sheetName val="SEPTEMBER_2023"/>
      <sheetName val="OCTOBER_2023"/>
      <sheetName val="NOVEMBER_2023"/>
      <sheetName val="DECEMBER_2023"/>
      <sheetName val="FEBRUARY_2024"/>
      <sheetName val="MARCH_2024"/>
      <sheetName val="APRIL_2024"/>
      <sheetName val="MAY_2024"/>
      <sheetName val="JUNE_2024"/>
      <sheetName val="JULY_2024"/>
      <sheetName val="SEPTEMBER_2024"/>
      <sheetName val="AUGUST_2024"/>
      <sheetName val="addtlTrans"/>
      <sheetName val="BC-Slip"/>
      <sheetName val="OCTOBER_2024"/>
      <sheetName val="JANUARY_2025"/>
      <sheetName val="MARCH_2025"/>
      <sheetName val="MAY_2025"/>
      <sheetName val="Transfer_slip-T"/>
      <sheetName val="JUNE_2025"/>
      <sheetName val="JULY_2025"/>
      <sheetName val="Cash_In_Vault"/>
      <sheetName val="CIV_UpDates"/>
      <sheetName val="FEBRUARY_2025"/>
      <sheetName val="NOVEMBER_2024"/>
      <sheetName val="H.O. Party'25"/>
      <sheetName val="A.Sarrosa"/>
      <sheetName val="DECEMBER_2024"/>
      <sheetName val="Sheet43"/>
      <sheetName val="Sheet44"/>
      <sheetName val="Sheet45"/>
      <sheetName val="Sheet46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Improvised Stamp"/>
      <sheetName val="Raffle"/>
      <sheetName val="DULCE_props."/>
      <sheetName val="SSD_SOA"/>
      <sheetName val="Sheet5"/>
      <sheetName val="H.O.ChristmasParty"/>
      <sheetName val="Sheet6"/>
      <sheetName val="Sheet7"/>
      <sheetName val="Sheet8"/>
      <sheetName val="Sheet10"/>
      <sheetName val="Sheet9"/>
      <sheetName val="AAB"/>
      <sheetName val="AppraisalMisc."/>
      <sheetName val="Sheet4"/>
      <sheetName val="W_slip"/>
      <sheetName val="PC-voucher"/>
      <sheetName val="Sheet2"/>
      <sheetName val="Chart3"/>
      <sheetName val="Chart5"/>
      <sheetName val="December"/>
      <sheetName val="BC-T.A."/>
      <sheetName val="Count copy"/>
      <sheetName val="Meal Subsidy"/>
      <sheetName val="MyMCC-GC"/>
    </sheetNames>
    <sheetDataSet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2">
          <cell r="E2" t="str">
            <v>July 07, 2025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11"/>
      <sheetData sheetId="112"/>
      <sheetData sheetId="113"/>
      <sheetData sheetId="114"/>
      <sheetData sheetId="1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D240-E19F-44FF-A25E-FDC831510B7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D065-663F-4EBE-AF3F-147D141833A5}">
  <dimension ref="A1:H67"/>
  <sheetViews>
    <sheetView tabSelected="1" topLeftCell="A37" workbookViewId="0">
      <selection activeCell="C49" sqref="C49"/>
    </sheetView>
  </sheetViews>
  <sheetFormatPr defaultColWidth="10.28515625" defaultRowHeight="15"/>
  <cols>
    <col min="1" max="1" width="27" style="1" customWidth="1"/>
    <col min="2" max="2" width="38.5703125" style="1" customWidth="1"/>
    <col min="3" max="3" width="39.85546875" style="1" customWidth="1"/>
    <col min="4" max="4" width="27.5703125" style="1" customWidth="1"/>
    <col min="5" max="5" width="20.5703125" style="1" customWidth="1"/>
    <col min="6" max="6" width="14.5703125" style="1" bestFit="1" customWidth="1"/>
    <col min="7" max="7" width="9.28515625" style="1" customWidth="1"/>
    <col min="8" max="16384" width="10.28515625" style="1"/>
  </cols>
  <sheetData>
    <row r="1" spans="1:8" ht="16.5" customHeight="1"/>
    <row r="2" spans="1:8" ht="18">
      <c r="A2" s="55" t="s">
        <v>0</v>
      </c>
      <c r="B2" s="55"/>
      <c r="C2" s="55"/>
      <c r="D2" s="55"/>
    </row>
    <row r="3" spans="1:8" ht="15.75">
      <c r="A3" s="56" t="s">
        <v>1</v>
      </c>
      <c r="B3" s="56"/>
      <c r="C3" s="56"/>
      <c r="D3" s="56"/>
    </row>
    <row r="4" spans="1:8" ht="15.75">
      <c r="A4" s="3"/>
      <c r="B4" s="57" t="s">
        <v>2</v>
      </c>
      <c r="C4" s="57"/>
      <c r="D4" s="57"/>
    </row>
    <row r="5" spans="1:8" ht="15.75">
      <c r="A5" s="3"/>
      <c r="B5" s="3"/>
      <c r="C5" s="3"/>
      <c r="D5" s="3"/>
    </row>
    <row r="7" spans="1:8" ht="15.75">
      <c r="A7" s="58" t="s">
        <v>3</v>
      </c>
      <c r="B7" s="58"/>
      <c r="C7" s="58"/>
      <c r="D7" s="58"/>
    </row>
    <row r="9" spans="1:8" ht="18.75" thickBot="1">
      <c r="A9" s="5" t="str">
        <f>'[1]Transfer_slip-T'!$E$2</f>
        <v>July 07, 2025</v>
      </c>
      <c r="B9" s="6"/>
      <c r="C9" s="2"/>
      <c r="D9" s="2"/>
      <c r="H9" s="7"/>
    </row>
    <row r="10" spans="1:8" ht="15.75" thickBot="1">
      <c r="A10" s="8" t="s">
        <v>4</v>
      </c>
      <c r="B10" s="8" t="s">
        <v>5</v>
      </c>
      <c r="C10" s="8" t="s">
        <v>5</v>
      </c>
      <c r="D10" s="8" t="s">
        <v>6</v>
      </c>
    </row>
    <row r="11" spans="1:8" ht="21.75" customHeight="1">
      <c r="A11" s="9">
        <v>4407707.74</v>
      </c>
      <c r="B11" s="10" t="s">
        <v>7</v>
      </c>
      <c r="C11" s="10" t="s">
        <v>8</v>
      </c>
      <c r="D11" s="11">
        <v>1150473.57</v>
      </c>
      <c r="F11" s="12"/>
    </row>
    <row r="12" spans="1:8" ht="21.75" customHeight="1">
      <c r="A12" s="11">
        <v>1326561.6499999999</v>
      </c>
      <c r="B12" s="13" t="s">
        <v>9</v>
      </c>
      <c r="C12" s="14" t="s">
        <v>10</v>
      </c>
      <c r="D12" s="15">
        <v>0</v>
      </c>
      <c r="F12" s="12" t="s">
        <v>11</v>
      </c>
    </row>
    <row r="13" spans="1:8" ht="21.75" customHeight="1">
      <c r="A13" s="15">
        <v>3500</v>
      </c>
      <c r="B13" s="13" t="s">
        <v>12</v>
      </c>
      <c r="C13" s="16" t="s">
        <v>13</v>
      </c>
      <c r="D13" s="11">
        <f>D11+D12</f>
        <v>1150473.57</v>
      </c>
      <c r="F13" s="1" t="s">
        <v>14</v>
      </c>
    </row>
    <row r="14" spans="1:8" ht="21.75" customHeight="1">
      <c r="A14" s="15"/>
      <c r="B14" s="13" t="s">
        <v>15</v>
      </c>
      <c r="C14" s="14"/>
      <c r="D14" s="17"/>
      <c r="F14" s="1" t="s">
        <v>16</v>
      </c>
    </row>
    <row r="15" spans="1:8" ht="21.75" customHeight="1">
      <c r="A15" s="15">
        <v>0</v>
      </c>
      <c r="B15" s="18" t="s">
        <v>17</v>
      </c>
      <c r="C15" s="12" t="s">
        <v>11</v>
      </c>
      <c r="D15" s="19">
        <v>0</v>
      </c>
      <c r="E15" s="20"/>
    </row>
    <row r="16" spans="1:8" ht="21.75" customHeight="1">
      <c r="A16" s="15">
        <v>0</v>
      </c>
      <c r="B16" s="21" t="s">
        <v>18</v>
      </c>
      <c r="C16" s="22" t="s">
        <v>19</v>
      </c>
      <c r="D16" s="19">
        <v>609103.14</v>
      </c>
      <c r="E16" s="20"/>
      <c r="F16" s="23" t="s">
        <v>20</v>
      </c>
    </row>
    <row r="17" spans="1:6" ht="21.75" customHeight="1">
      <c r="A17" s="24">
        <v>0</v>
      </c>
      <c r="B17" s="25" t="s">
        <v>21</v>
      </c>
      <c r="C17" s="22"/>
      <c r="D17" s="17"/>
      <c r="E17" s="20"/>
      <c r="F17" s="26" t="s">
        <v>22</v>
      </c>
    </row>
    <row r="18" spans="1:6" ht="21.75" customHeight="1">
      <c r="A18" s="27"/>
      <c r="B18" s="28"/>
      <c r="C18" s="21" t="s">
        <v>23</v>
      </c>
      <c r="D18" s="19">
        <v>0</v>
      </c>
      <c r="E18" s="20"/>
      <c r="F18" s="29" t="s">
        <v>24</v>
      </c>
    </row>
    <row r="19" spans="1:6" ht="21.75" customHeight="1">
      <c r="A19" s="27"/>
      <c r="B19" s="30"/>
      <c r="C19" s="21" t="s">
        <v>25</v>
      </c>
      <c r="D19" s="15">
        <v>0</v>
      </c>
      <c r="E19" s="20"/>
      <c r="F19" s="29" t="s">
        <v>26</v>
      </c>
    </row>
    <row r="20" spans="1:6" ht="21.75" customHeight="1">
      <c r="A20" s="27"/>
      <c r="B20" s="31"/>
      <c r="C20" s="21" t="s">
        <v>27</v>
      </c>
      <c r="D20" s="15">
        <v>0</v>
      </c>
      <c r="E20" s="20"/>
      <c r="F20" s="32" t="s">
        <v>28</v>
      </c>
    </row>
    <row r="21" spans="1:6" ht="21.75" customHeight="1">
      <c r="A21" s="27"/>
      <c r="B21" s="33"/>
      <c r="C21" s="21" t="s">
        <v>29</v>
      </c>
      <c r="D21" s="19">
        <v>0</v>
      </c>
      <c r="E21" s="20" t="s">
        <v>30</v>
      </c>
      <c r="F21" s="29" t="s">
        <v>31</v>
      </c>
    </row>
    <row r="22" spans="1:6" ht="21.75" customHeight="1">
      <c r="A22" s="27"/>
      <c r="B22" s="30"/>
      <c r="C22" s="21" t="s">
        <v>32</v>
      </c>
      <c r="D22" s="15">
        <v>0</v>
      </c>
      <c r="F22" s="4" t="s">
        <v>33</v>
      </c>
    </row>
    <row r="23" spans="1:6" ht="21.75" customHeight="1">
      <c r="A23" s="27"/>
      <c r="B23" s="30"/>
      <c r="C23" s="21" t="s">
        <v>34</v>
      </c>
      <c r="D23" s="15">
        <v>0</v>
      </c>
    </row>
    <row r="24" spans="1:6" ht="21.75" customHeight="1">
      <c r="A24" s="27"/>
      <c r="B24" s="30"/>
      <c r="C24" s="34"/>
      <c r="D24" s="35"/>
    </row>
    <row r="25" spans="1:6" ht="21.75" customHeight="1">
      <c r="A25" s="27"/>
      <c r="B25" s="30"/>
      <c r="C25" s="34"/>
      <c r="D25" s="36"/>
      <c r="F25" s="37"/>
    </row>
    <row r="26" spans="1:6" ht="21.75" customHeight="1">
      <c r="A26" s="38"/>
      <c r="B26" s="30"/>
      <c r="C26" s="34"/>
      <c r="D26" s="35"/>
      <c r="E26" s="37"/>
    </row>
    <row r="27" spans="1:6" ht="21.75" customHeight="1">
      <c r="A27" s="27"/>
      <c r="B27" s="30"/>
      <c r="C27" s="34"/>
      <c r="D27" s="35"/>
    </row>
    <row r="28" spans="1:6" ht="21.75" customHeight="1">
      <c r="A28" s="27"/>
      <c r="B28" s="30"/>
      <c r="C28" s="34"/>
      <c r="D28" s="35"/>
    </row>
    <row r="29" spans="1:6" ht="21.75" customHeight="1">
      <c r="A29" s="27"/>
      <c r="B29" s="30"/>
      <c r="C29" s="34"/>
      <c r="D29" s="35"/>
    </row>
    <row r="30" spans="1:6" ht="23.25" customHeight="1">
      <c r="A30" s="39"/>
      <c r="B30" s="34"/>
      <c r="C30" s="34"/>
      <c r="D30" s="25"/>
    </row>
    <row r="31" spans="1:6" ht="21.75" customHeight="1">
      <c r="A31" s="40"/>
      <c r="B31" s="34"/>
      <c r="C31" s="34"/>
      <c r="D31" s="25"/>
    </row>
    <row r="32" spans="1:6" ht="21.75" customHeight="1">
      <c r="A32" s="40"/>
      <c r="B32" s="34"/>
      <c r="C32" s="25"/>
      <c r="D32" s="25"/>
    </row>
    <row r="33" spans="1:6" ht="21.75" customHeight="1">
      <c r="A33" s="40"/>
      <c r="B33" s="34"/>
      <c r="C33" s="25"/>
      <c r="D33" s="40"/>
      <c r="E33" s="37"/>
      <c r="F33" s="37"/>
    </row>
    <row r="34" spans="1:6" ht="21.75" customHeight="1">
      <c r="A34" s="27">
        <f>SUM(A11:A33)</f>
        <v>5737769.3900000006</v>
      </c>
      <c r="B34" s="34"/>
      <c r="C34" s="13" t="s">
        <v>35</v>
      </c>
      <c r="D34" s="35">
        <f>SUM(D13:D33)</f>
        <v>1759576.71</v>
      </c>
    </row>
    <row r="35" spans="1:6" ht="21.75" customHeight="1">
      <c r="A35" s="40"/>
      <c r="B35" s="34"/>
      <c r="C35" s="14" t="s">
        <v>36</v>
      </c>
      <c r="D35" s="41">
        <f>A34-D34</f>
        <v>3978192.6800000006</v>
      </c>
    </row>
    <row r="36" spans="1:6" ht="21.75" customHeight="1">
      <c r="A36" s="40"/>
      <c r="B36" s="34"/>
      <c r="C36" s="14"/>
      <c r="D36" s="42"/>
    </row>
    <row r="37" spans="1:6" ht="21.75" customHeight="1" thickBot="1">
      <c r="A37" s="43"/>
      <c r="B37" s="44"/>
      <c r="C37" s="45"/>
      <c r="D37" s="43"/>
    </row>
    <row r="38" spans="1:6" ht="21.75" customHeight="1">
      <c r="A38" s="46"/>
      <c r="B38" s="6"/>
      <c r="C38" s="2"/>
      <c r="D38" s="46"/>
    </row>
    <row r="39" spans="1:6" ht="18" customHeight="1">
      <c r="A39" s="47"/>
      <c r="B39" s="48"/>
      <c r="C39" s="37"/>
      <c r="D39" s="47"/>
    </row>
    <row r="40" spans="1:6">
      <c r="A40" s="49" t="s">
        <v>37</v>
      </c>
      <c r="B40" s="48"/>
      <c r="D40" s="49" t="s">
        <v>38</v>
      </c>
    </row>
    <row r="41" spans="1:6">
      <c r="B41" s="48"/>
    </row>
    <row r="42" spans="1:6" ht="15.75" thickBot="1">
      <c r="A42" s="50"/>
      <c r="B42" s="48"/>
      <c r="C42" s="51"/>
      <c r="D42" s="50"/>
    </row>
    <row r="43" spans="1:6">
      <c r="A43" s="52" t="s">
        <v>42</v>
      </c>
      <c r="B43" s="48"/>
      <c r="C43" s="48"/>
      <c r="D43" s="52" t="s">
        <v>39</v>
      </c>
    </row>
    <row r="44" spans="1:6" ht="15.75">
      <c r="A44" s="53" t="s">
        <v>43</v>
      </c>
      <c r="B44" s="48"/>
      <c r="C44" s="48"/>
      <c r="D44" s="53" t="s">
        <v>40</v>
      </c>
      <c r="E44" s="54"/>
      <c r="F44" s="3"/>
    </row>
    <row r="45" spans="1:6" ht="15.75">
      <c r="A45" s="53" t="s">
        <v>41</v>
      </c>
      <c r="B45" s="48"/>
      <c r="C45" s="48"/>
      <c r="D45" s="53" t="s">
        <v>41</v>
      </c>
      <c r="F45" s="3"/>
    </row>
    <row r="49" spans="1:7">
      <c r="A49" s="48"/>
      <c r="B49" s="48"/>
      <c r="C49" s="48"/>
      <c r="D49" s="48"/>
    </row>
    <row r="50" spans="1:7">
      <c r="A50" s="48"/>
      <c r="B50" s="48"/>
      <c r="C50" s="48"/>
      <c r="D50" s="48"/>
    </row>
    <row r="51" spans="1:7">
      <c r="A51" s="48"/>
      <c r="B51" s="48"/>
      <c r="C51" s="48"/>
      <c r="D51" s="48"/>
    </row>
    <row r="52" spans="1:7">
      <c r="A52" s="48"/>
      <c r="B52" s="48"/>
      <c r="C52" s="48"/>
      <c r="D52" s="48"/>
    </row>
    <row r="53" spans="1:7" ht="15.75">
      <c r="A53" s="48"/>
      <c r="B53" s="48"/>
      <c r="C53" s="48"/>
      <c r="D53" s="48"/>
      <c r="G53" s="3"/>
    </row>
    <row r="54" spans="1:7" ht="15.75">
      <c r="A54" s="48"/>
      <c r="B54" s="48"/>
      <c r="C54" s="48"/>
      <c r="D54" s="48"/>
      <c r="E54" s="1" t="s">
        <v>30</v>
      </c>
      <c r="F54" s="3"/>
    </row>
    <row r="55" spans="1:7">
      <c r="A55" s="48"/>
      <c r="B55" s="48"/>
      <c r="C55" s="48"/>
      <c r="D55" s="48"/>
    </row>
    <row r="56" spans="1:7">
      <c r="A56" s="48"/>
      <c r="B56" s="48"/>
      <c r="C56" s="48"/>
      <c r="D56" s="48"/>
    </row>
    <row r="57" spans="1:7">
      <c r="A57" s="48"/>
      <c r="B57" s="48"/>
      <c r="C57" s="48"/>
      <c r="D57" s="48"/>
    </row>
    <row r="58" spans="1:7">
      <c r="A58" s="48"/>
      <c r="B58" s="48"/>
      <c r="C58" s="48"/>
      <c r="D58" s="48"/>
    </row>
    <row r="59" spans="1:7">
      <c r="A59" s="48"/>
      <c r="B59" s="48"/>
      <c r="C59" s="48"/>
      <c r="D59" s="48"/>
    </row>
    <row r="60" spans="1:7">
      <c r="A60" s="48"/>
      <c r="B60" s="48"/>
      <c r="C60" s="48"/>
    </row>
    <row r="61" spans="1:7">
      <c r="C61" s="48"/>
    </row>
    <row r="62" spans="1:7">
      <c r="C62" s="48"/>
    </row>
    <row r="63" spans="1:7">
      <c r="C63" s="48"/>
    </row>
    <row r="64" spans="1:7">
      <c r="C64" s="48"/>
    </row>
    <row r="65" spans="3:3">
      <c r="C65" s="48"/>
    </row>
    <row r="66" spans="3:3">
      <c r="C66" s="48"/>
    </row>
    <row r="67" spans="3:3">
      <c r="C67" s="48"/>
    </row>
  </sheetData>
  <mergeCells count="4">
    <mergeCell ref="A2:D2"/>
    <mergeCell ref="A3:D3"/>
    <mergeCell ref="B4:D4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CASH_BLOTTER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Ritchie Arcilla</dc:creator>
  <cp:lastModifiedBy>Ritchie Arcilla</cp:lastModifiedBy>
  <dcterms:created xsi:type="dcterms:W3CDTF">2025-07-07T00:00:49Z</dcterms:created>
  <dcterms:modified xsi:type="dcterms:W3CDTF">2025-07-07T00:04:41Z</dcterms:modified>
</cp:coreProperties>
</file>
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OURBANK-Teller1\Desktop\"/>
    </mc:Choice>
  </mc:AlternateContent>
  <xr:revisionPtr revIDLastSave="0" documentId="8_{CF3FBD03-B912-41C5-A9BE-1345F9A1CC22}" xr6:coauthVersionLast="47" xr6:coauthVersionMax="47" xr10:uidLastSave="{00000000-0000-0000-0000-000000000000}"/>
  <bookViews>
    <workbookView xWindow="-120" yWindow="-120" windowWidth="21840" windowHeight="13020" tabRatio="848" firstSheet="4" activeTab="4" xr2:uid="{00000000-000D-0000-FFFF-FFFF00000000}"/>
  </bookViews>
  <sheets>
    <sheet name="Chart1" sheetId="20" state="hidden" r:id="rId1"/>
    <sheet name="Chart2" sheetId="24" state="hidden" r:id="rId2"/>
    <sheet name="Chart4" sheetId="26" state="hidden" r:id="rId3"/>
    <sheet name="Chart6" sheetId="28" state="hidden" r:id="rId4"/>
    <sheet name="BLOTTER" sheetId="2" r:id="rId5"/>
    <sheet name="Chart3" sheetId="25" state="hidden" r:id="rId6"/>
    <sheet name="Chart5" sheetId="27" state="hidden" r:id="rId7"/>
    <sheet name="Meal Subsidy" sheetId="6" state="hidden" r:id="rId8"/>
    <sheet name="MyMCC-GC" sheetId="22" state="hidden" r:id="rId9"/>
  </sheets>
  <definedNames>
    <definedName name="_xlnm.Print_Area" localSheetId="4">BLOTTER!$A$2:$D$59</definedName>
  </definedNames>
  <calcPr calcId="191029"/>
</workbook>
</file>

<file path=xl/calcChain.xml><?xml version="1.0" encoding="utf-8"?>
<calcChain xmlns="http://schemas.openxmlformats.org/spreadsheetml/2006/main">
  <c r="D50" i="2" l="1"/>
  <c r="A51" i="2" l="1"/>
  <c r="D51" i="2" l="1"/>
  <c r="A8" i="2" l="1"/>
  <c r="E26" i="6" l="1"/>
</calcChain>
</file>

<file path=xl/sharedStrings.xml><?xml version="1.0" encoding="utf-8"?>
<sst xmlns="http://schemas.openxmlformats.org/spreadsheetml/2006/main" count="118" uniqueCount="87">
  <si>
    <t>CERTIFIED CORRECT:</t>
  </si>
  <si>
    <t>CASHIER/TELLER'S BLOTTER</t>
  </si>
  <si>
    <t>RECEIPTS</t>
  </si>
  <si>
    <t>PARTICULARS</t>
  </si>
  <si>
    <t>Cash Received-Cashier</t>
  </si>
  <si>
    <t>Special Savings Withdrawals</t>
  </si>
  <si>
    <t xml:space="preserve"> </t>
  </si>
  <si>
    <t>P</t>
  </si>
  <si>
    <t>Gregorio B. Lantin, III</t>
  </si>
  <si>
    <t>Perlita S. Nerona</t>
  </si>
  <si>
    <t>Jonathan B. Quijano</t>
  </si>
  <si>
    <t>Maribel S. Tomboc</t>
  </si>
  <si>
    <t>Jona G. Del Rosario</t>
  </si>
  <si>
    <t>Ma. Luz R. Manglicmot</t>
  </si>
  <si>
    <t>Carmina S. Matarong</t>
  </si>
  <si>
    <t>Alfredo P. Luarez</t>
  </si>
  <si>
    <t>Jeralyn B. Pernitez</t>
  </si>
  <si>
    <t>Agapito Montenegro</t>
  </si>
  <si>
    <t>Ritchie L. Arcilla</t>
  </si>
  <si>
    <t>Janelle Lunes</t>
  </si>
  <si>
    <t>Rolly R. Bacus</t>
  </si>
  <si>
    <t>Luisito M. Verder</t>
  </si>
  <si>
    <t>Teofilo L. Martin</t>
  </si>
  <si>
    <t>Meal Subsidy (for the month of December 2016)</t>
  </si>
  <si>
    <t>.</t>
  </si>
  <si>
    <t>Ending Balance:</t>
  </si>
  <si>
    <t>PAYMENTS</t>
  </si>
  <si>
    <t>MetroBank: My SWIPE, My TREATS Gift Check code:</t>
  </si>
  <si>
    <t>S4CN-N8RV</t>
  </si>
  <si>
    <t>9MA2-5KDE</t>
  </si>
  <si>
    <t>TSJG-NB7P</t>
  </si>
  <si>
    <t>53YM-NR73</t>
  </si>
  <si>
    <t>FE3C-8W3W</t>
  </si>
  <si>
    <t>6AYM-4BSG</t>
  </si>
  <si>
    <t>GG7B-MK25</t>
  </si>
  <si>
    <t>Q83V-Y5EQ</t>
  </si>
  <si>
    <t>L9S2-7TAP</t>
  </si>
  <si>
    <t>8HM6-J4F7</t>
  </si>
  <si>
    <t>WFKP-5MBX</t>
  </si>
  <si>
    <t>KQN9-F5BS</t>
  </si>
  <si>
    <t>WSR7-VSAQ</t>
  </si>
  <si>
    <t>FSSN-75G2</t>
  </si>
  <si>
    <t>SBEA-T3PQ</t>
  </si>
  <si>
    <t>BYBN-HLFB</t>
  </si>
  <si>
    <t>GAYQ-WRN9</t>
  </si>
  <si>
    <t>RW86-E9LJ</t>
  </si>
  <si>
    <t>XJ4N-HFG3</t>
  </si>
  <si>
    <t>M6HA-56BA</t>
  </si>
  <si>
    <t>H5MG-65NB</t>
  </si>
  <si>
    <t>3HH9-PT47</t>
  </si>
  <si>
    <t>7XNQ-85G8</t>
  </si>
  <si>
    <t>9NKA-CDLP</t>
  </si>
  <si>
    <t>K4F2-F5CA</t>
  </si>
  <si>
    <t>S3N4-FJ2A</t>
  </si>
  <si>
    <t>VNH6-SB8Q</t>
  </si>
  <si>
    <t>BHF9-ARG4</t>
  </si>
  <si>
    <t>Savings Deposit</t>
  </si>
  <si>
    <t>Savings Withdrawals</t>
  </si>
  <si>
    <t xml:space="preserve"> OUR BANK</t>
  </si>
  <si>
    <t>One Unified Rural Bank of Cavite, Inc.</t>
  </si>
  <si>
    <t>One Savings Deposit</t>
  </si>
  <si>
    <t>Cash Transfer to Cashier</t>
  </si>
  <si>
    <t>Cash return</t>
  </si>
  <si>
    <t>ONE-SD Withdrawal</t>
  </si>
  <si>
    <t>Due from other Banks (BDO)</t>
  </si>
  <si>
    <t>Bayad Center</t>
  </si>
  <si>
    <t>Checking account</t>
  </si>
  <si>
    <t>Accounts Receivable</t>
  </si>
  <si>
    <t xml:space="preserve">  </t>
  </si>
  <si>
    <t>Other Income</t>
  </si>
  <si>
    <t>RITCHIE ARCILLA</t>
  </si>
  <si>
    <t>Checking account encashment</t>
  </si>
  <si>
    <t>Special Savings Deposit</t>
  </si>
  <si>
    <t>Cashier</t>
  </si>
  <si>
    <t>PREPARED BY:</t>
  </si>
  <si>
    <t>Teller</t>
  </si>
  <si>
    <t xml:space="preserve">                             Head Office Tejero</t>
  </si>
  <si>
    <t>Accounts Payable- Others</t>
  </si>
  <si>
    <t>Fuel Reversal (H.O)</t>
  </si>
  <si>
    <t>MARY JOY MARIANO</t>
  </si>
  <si>
    <t>CC#111302</t>
  </si>
  <si>
    <t>CC#111303</t>
  </si>
  <si>
    <t>CC#111304</t>
  </si>
  <si>
    <t>CC#111305</t>
  </si>
  <si>
    <t>CC#111306</t>
  </si>
  <si>
    <t>CC#111307</t>
  </si>
  <si>
    <t>OR# 13528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</si>
</sst>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09]mmmm\ d\,\ yyyy;@"/>
    <numFmt numFmtId="166" formatCode="[$-3409]mmmm\ dd\,\ yyyy;@"/>
  </numFmts>
  <fonts count="23">
    <font>
      <sz val="11"/>
      <color indexed="8"/>
      <name val="Calibri"/>
      <family val="2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Arial"/>
      <family val="2"/>
      <charset val="134"/>
    </font>
    <font>
      <sz val="10"/>
      <color indexed="8"/>
      <name val="Arial"/>
      <family val="2"/>
      <charset val="134"/>
    </font>
    <font>
      <b/>
      <sz val="11"/>
      <color indexed="8"/>
      <name val="Calibri"/>
      <family val="2"/>
      <charset val="134"/>
    </font>
    <font>
      <sz val="12"/>
      <color indexed="8"/>
      <name val="Arial"/>
      <family val="2"/>
      <charset val="134"/>
    </font>
    <font>
      <sz val="12"/>
      <name val="Times New Roman"/>
      <family val="1"/>
    </font>
    <font>
      <sz val="11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Berlin Sans FB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i/>
      <sz val="11"/>
      <color indexed="8"/>
      <name val="Arial"/>
      <family val="2"/>
    </font>
    <font>
      <b/>
      <sz val="11"/>
      <color indexed="8"/>
      <name val="Book Antiqua"/>
      <family val="1"/>
    </font>
    <font>
      <sz val="10"/>
      <color indexed="8"/>
      <name val="Calibri"/>
      <family val="2"/>
      <charset val="134"/>
    </font>
    <font>
      <b/>
      <sz val="14"/>
      <color indexed="8"/>
      <name val="Arial"/>
      <family val="2"/>
    </font>
    <font>
      <b/>
      <sz val="9"/>
      <color indexed="8"/>
      <name val="Arial"/>
      <family val="2"/>
    </font>
    <font>
      <sz val="8"/>
      <name val="Calibri"/>
      <family val="2"/>
      <charset val="134"/>
    </font>
    <font>
      <b/>
      <sz val="8"/>
      <color indexed="8"/>
      <name val="Arial Black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164" fontId="7" fillId="0" borderId="0" applyFont="0" applyFill="0" applyBorder="0" applyAlignment="0" applyProtection="0">
      <alignment vertical="center"/>
    </xf>
    <xf numFmtId="0" fontId="2" fillId="0" borderId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57">
    <xf numFmtId="0" fontId="0" fillId="0" borderId="0" xfId="0" applyAlignment="1"/>
    <xf numFmtId="0" fontId="3" fillId="0" borderId="0" xfId="0" applyFont="1" applyAlignment="1"/>
    <xf numFmtId="0" fontId="4" fillId="0" borderId="0" xfId="0" applyFont="1" applyAlignment="1"/>
    <xf numFmtId="164" fontId="4" fillId="0" borderId="2" xfId="1" applyFont="1" applyBorder="1" applyAlignment="1"/>
    <xf numFmtId="0" fontId="5" fillId="0" borderId="0" xfId="0" applyFont="1" applyAlignment="1"/>
    <xf numFmtId="0" fontId="0" fillId="0" borderId="0" xfId="0" applyAlignment="1">
      <alignment horizontal="right"/>
    </xf>
    <xf numFmtId="164" fontId="0" fillId="0" borderId="0" xfId="1" applyFont="1" applyAlignment="1"/>
    <xf numFmtId="0" fontId="0" fillId="0" borderId="5" xfId="0" applyBorder="1" applyAlignment="1"/>
    <xf numFmtId="164" fontId="0" fillId="0" borderId="0" xfId="1" applyFont="1" applyBorder="1" applyAlignment="1"/>
    <xf numFmtId="0" fontId="0" fillId="0" borderId="7" xfId="0" applyBorder="1" applyAlignment="1"/>
    <xf numFmtId="0" fontId="6" fillId="0" borderId="0" xfId="0" applyFont="1" applyAlignment="1">
      <alignment horizontal="center"/>
    </xf>
    <xf numFmtId="164" fontId="3" fillId="0" borderId="0" xfId="0" applyNumberFormat="1" applyFont="1" applyAlignment="1"/>
    <xf numFmtId="164" fontId="4" fillId="0" borderId="0" xfId="0" applyNumberFormat="1" applyFont="1" applyAlignment="1"/>
    <xf numFmtId="0" fontId="4" fillId="0" borderId="8" xfId="0" applyFont="1" applyBorder="1" applyAlignment="1"/>
    <xf numFmtId="165" fontId="4" fillId="0" borderId="0" xfId="0" applyNumberFormat="1" applyFont="1" applyAlignment="1">
      <alignment horizontal="center"/>
    </xf>
    <xf numFmtId="0" fontId="9" fillId="0" borderId="1" xfId="0" applyFont="1" applyBorder="1" applyAlignment="1">
      <alignment horizontal="center"/>
    </xf>
    <xf numFmtId="164" fontId="0" fillId="0" borderId="0" xfId="1" applyFont="1" applyFill="1" applyBorder="1" applyAlignment="1"/>
    <xf numFmtId="164" fontId="4" fillId="0" borderId="2" xfId="1" applyFont="1" applyBorder="1" applyAlignment="1">
      <alignment horizontal="center"/>
    </xf>
    <xf numFmtId="0" fontId="10" fillId="0" borderId="0" xfId="0" applyFont="1" applyAlignment="1"/>
    <xf numFmtId="164" fontId="10" fillId="0" borderId="6" xfId="0" applyNumberFormat="1" applyFont="1" applyBorder="1" applyAlignment="1"/>
    <xf numFmtId="0" fontId="10" fillId="0" borderId="0" xfId="0" applyFont="1" applyAlignment="1">
      <alignment horizontal="right"/>
    </xf>
    <xf numFmtId="0" fontId="11" fillId="0" borderId="0" xfId="0" applyFont="1" applyAlignment="1"/>
    <xf numFmtId="0" fontId="16" fillId="0" borderId="0" xfId="0" applyFont="1" applyAlignment="1"/>
    <xf numFmtId="0" fontId="17" fillId="0" borderId="0" xfId="0" applyFont="1" applyAlignment="1"/>
    <xf numFmtId="0" fontId="18" fillId="0" borderId="0" xfId="0" applyFont="1" applyAlignment="1"/>
    <xf numFmtId="0" fontId="20" fillId="0" borderId="0" xfId="0" applyFont="1" applyAlignment="1"/>
    <xf numFmtId="164" fontId="14" fillId="0" borderId="2" xfId="1" applyFont="1" applyBorder="1" applyAlignment="1"/>
    <xf numFmtId="0" fontId="14" fillId="0" borderId="2" xfId="0" applyFont="1" applyBorder="1" applyAlignment="1"/>
    <xf numFmtId="164" fontId="15" fillId="0" borderId="2" xfId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5" fillId="0" borderId="2" xfId="0" quotePrefix="1" applyFont="1" applyBorder="1" applyAlignment="1">
      <alignment horizontal="center"/>
    </xf>
    <xf numFmtId="0" fontId="15" fillId="0" borderId="4" xfId="0" applyFont="1" applyBorder="1" applyAlignment="1"/>
    <xf numFmtId="0" fontId="15" fillId="0" borderId="2" xfId="0" applyFont="1" applyBorder="1" applyAlignment="1"/>
    <xf numFmtId="0" fontId="15" fillId="0" borderId="2" xfId="0" applyFont="1" applyBorder="1" applyAlignment="1">
      <alignment shrinkToFit="1"/>
    </xf>
    <xf numFmtId="49" fontId="15" fillId="0" borderId="2" xfId="0" quotePrefix="1" applyNumberFormat="1" applyFont="1" applyBorder="1" applyAlignment="1">
      <alignment horizontal="left"/>
    </xf>
    <xf numFmtId="0" fontId="8" fillId="0" borderId="5" xfId="0" applyFont="1" applyBorder="1" applyAlignment="1"/>
    <xf numFmtId="0" fontId="15" fillId="0" borderId="3" xfId="0" applyFont="1" applyBorder="1" applyAlignment="1"/>
    <xf numFmtId="0" fontId="15" fillId="0" borderId="9" xfId="0" applyFont="1" applyBorder="1" applyAlignment="1"/>
    <xf numFmtId="0" fontId="14" fillId="0" borderId="2" xfId="0" applyFont="1" applyBorder="1" applyAlignment="1">
      <alignment horizontal="left"/>
    </xf>
    <xf numFmtId="0" fontId="3" fillId="0" borderId="10" xfId="0" applyFont="1" applyBorder="1" applyAlignment="1">
      <alignment horizontal="center"/>
    </xf>
    <xf numFmtId="165" fontId="15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center"/>
    </xf>
    <xf numFmtId="164" fontId="4" fillId="0" borderId="2" xfId="1" applyFont="1" applyBorder="1" applyAlignment="1">
      <alignment horizontal="right"/>
    </xf>
    <xf numFmtId="49" fontId="15" fillId="0" borderId="1" xfId="0" quotePrefix="1" applyNumberFormat="1" applyFont="1" applyBorder="1" applyAlignment="1">
      <alignment horizontal="left"/>
    </xf>
    <xf numFmtId="0" fontId="3" fillId="0" borderId="1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20" fillId="0" borderId="4" xfId="0" applyFont="1" applyBorder="1" applyAlignment="1"/>
    <xf numFmtId="0" fontId="20" fillId="0" borderId="0" xfId="0" applyFont="1" applyAlignment="1">
      <alignment horizontal="center"/>
    </xf>
    <xf numFmtId="166" fontId="14" fillId="0" borderId="0" xfId="0" applyNumberFormat="1" applyFont="1" applyAlignment="1">
      <alignment horizontal="center"/>
    </xf>
    <xf numFmtId="0" fontId="20" fillId="0" borderId="2" xfId="0" applyFont="1" applyBorder="1" applyAlignment="1"/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wrapText="1"/>
    </xf>
    <xf numFmtId="0" fontId="19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165" fontId="10" fillId="0" borderId="0" xfId="0" applyNumberFormat="1" applyFont="1" applyAlignment="1">
      <alignment horizontal="center"/>
    </xf>
  </cellXfs>
  <cellStyles count="6">
    <cellStyle name="Comma" xfId="1" builtinId="3"/>
    <cellStyle name="Comma 2" xfId="3" xr:uid="{2B73B6A5-1204-44A7-AB2F-2AD8CA3DDE41}"/>
    <cellStyle name="Comma 3" xfId="5" xr:uid="{76C67C72-A73B-40FD-A51A-82AB8B26BB74}"/>
    <cellStyle name="Normal" xfId="0" builtinId="0"/>
    <cellStyle name="Normal 2" xfId="2" xr:uid="{F646A9DE-B48B-475E-8EE9-FD5466BE588E}"/>
    <cellStyle name="Normal 3" xfId="4" xr:uid="{BC1CA76A-F60D-4384-AAB0-F77897E704C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2.xml"/><Relationship Id="rId13" Type="http://schemas.openxmlformats.org/officeDocument/2006/relationships/calcChain" Target="calcChain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worksheet" Target="worksheets/sheet1.xml"/><Relationship Id="rId10" Type="http://schemas.openxmlformats.org/officeDocument/2006/relationships/theme" Target="theme/theme1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strRef>
              <c:f>#REF!</c:f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48-4226-8805-1124370E3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705024"/>
        <c:axId val="126735488"/>
      </c:barChart>
      <c:catAx>
        <c:axId val="126705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26735488"/>
        <c:crosses val="autoZero"/>
        <c:auto val="1"/>
        <c:lblAlgn val="ctr"/>
        <c:lblOffset val="100"/>
        <c:noMultiLvlLbl val="0"/>
      </c:catAx>
      <c:valAx>
        <c:axId val="126735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2670502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strRef>
              <c:f>#REF!</c:f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5F-4D65-B91F-781F6187A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173376"/>
        <c:axId val="129174912"/>
      </c:barChart>
      <c:catAx>
        <c:axId val="1291733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29174912"/>
        <c:crosses val="autoZero"/>
        <c:auto val="1"/>
        <c:lblAlgn val="ctr"/>
        <c:lblOffset val="100"/>
        <c:noMultiLvlLbl val="0"/>
      </c:catAx>
      <c:valAx>
        <c:axId val="129174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2917337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strRef>
              <c:f>#REF!</c:f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9-4A96-9113-D26456364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212800"/>
        <c:axId val="129214336"/>
      </c:barChart>
      <c:catAx>
        <c:axId val="1292128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29214336"/>
        <c:crosses val="autoZero"/>
        <c:auto val="1"/>
        <c:lblAlgn val="ctr"/>
        <c:lblOffset val="100"/>
        <c:noMultiLvlLbl val="0"/>
      </c:catAx>
      <c:valAx>
        <c:axId val="129214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2921280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multiLvlStrRef>
              <c:f>#REF!</c:f>
            </c:multiLvl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71-4B1D-B3C1-D2F2C97DE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321984"/>
        <c:axId val="129356544"/>
      </c:barChart>
      <c:catAx>
        <c:axId val="1293219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29356544"/>
        <c:crosses val="autoZero"/>
        <c:auto val="1"/>
        <c:lblAlgn val="ctr"/>
        <c:lblOffset val="100"/>
        <c:noMultiLvlLbl val="0"/>
      </c:catAx>
      <c:valAx>
        <c:axId val="1293565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2932198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BLOTTER!$A$9</c:f>
              <c:strCache>
                <c:ptCount val="1"/>
                <c:pt idx="0">
                  <c:v>RECEIPTS</c:v>
                </c:pt>
              </c:strCache>
            </c:strRef>
          </c:tx>
          <c:invertIfNegative val="0"/>
          <c:val>
            <c:numRef>
              <c:f>BLOTTER!$A$12:$A$51</c:f>
              <c:numCache>
                <c:formatCode>_(* #,##0.00_);_(* \(#,##0.00\);_(* "-"??_);_(@_)</c:formatCode>
                <c:ptCount val="40"/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8D-423B-9A98-C69765105543}"/>
            </c:ext>
          </c:extLst>
        </c:ser>
        <c:ser>
          <c:idx val="1"/>
          <c:order val="1"/>
          <c:tx>
            <c:strRef>
              <c:f>BLOTTER!$B$9</c:f>
              <c:strCache>
                <c:ptCount val="1"/>
                <c:pt idx="0">
                  <c:v>PARTICULARS</c:v>
                </c:pt>
              </c:strCache>
            </c:strRef>
          </c:tx>
          <c:invertIfNegative val="0"/>
          <c:val>
            <c:numRef>
              <c:f>BLOTTER!$B$10:$B$32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8D-423B-9A98-C69765105543}"/>
            </c:ext>
          </c:extLst>
        </c:ser>
        <c:ser>
          <c:idx val="2"/>
          <c:order val="2"/>
          <c:tx>
            <c:strRef>
              <c:f>BLOTTER!$C$9</c:f>
              <c:strCache>
                <c:ptCount val="1"/>
                <c:pt idx="0">
                  <c:v>PARTICULARS</c:v>
                </c:pt>
              </c:strCache>
            </c:strRef>
          </c:tx>
          <c:invertIfNegative val="0"/>
          <c:val>
            <c:numRef>
              <c:f>BLOTTER!$C$10:$C$18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8D-423B-9A98-C69765105543}"/>
            </c:ext>
          </c:extLst>
        </c:ser>
        <c:ser>
          <c:idx val="3"/>
          <c:order val="3"/>
          <c:tx>
            <c:strRef>
              <c:f>BLOTTER!$D$9</c:f>
              <c:strCache>
                <c:ptCount val="1"/>
                <c:pt idx="0">
                  <c:v>PAYMENTS</c:v>
                </c:pt>
              </c:strCache>
            </c:strRef>
          </c:tx>
          <c:invertIfNegative val="0"/>
          <c:val>
            <c:numRef>
              <c:f>BLOTTER!$D$11:$D$27</c:f>
              <c:numCache>
                <c:formatCode>_(* #,##0.00_);_(* \(#,##0.00\);_(* "-"??_);_(@_)</c:formatCode>
                <c:ptCount val="17"/>
              </c:numCache>
            </c:numRef>
          </c:val>
          <c:extLst>
            <c:ext xmlns:c16="http://schemas.microsoft.com/office/drawing/2014/chart" uri="{C3380CC4-5D6E-409C-BE32-E72D297353CC}">
              <c16:uniqueId val="{00000003-1C8D-423B-9A98-C69765105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505920"/>
        <c:axId val="129507712"/>
      </c:barChart>
      <c:catAx>
        <c:axId val="12950592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29507712"/>
        <c:crosses val="autoZero"/>
        <c:auto val="1"/>
        <c:lblAlgn val="ctr"/>
        <c:lblOffset val="100"/>
        <c:noMultiLvlLbl val="0"/>
      </c:catAx>
      <c:valAx>
        <c:axId val="129507712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295059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BLOTTER!$A$9</c:f>
              <c:strCache>
                <c:ptCount val="1"/>
                <c:pt idx="0">
                  <c:v>RECEIPTS</c:v>
                </c:pt>
              </c:strCache>
            </c:strRef>
          </c:tx>
          <c:invertIfNegative val="0"/>
          <c:val>
            <c:numRef>
              <c:f>BLOTTER!$A$12:$A$40</c:f>
              <c:numCache>
                <c:formatCode>_(* #,##0.00_);_(* \(#,##0.00\);_(* "-"??_);_(@_)</c:formatCode>
                <c:ptCount val="29"/>
              </c:numCache>
            </c:numRef>
          </c:val>
          <c:extLst>
            <c:ext xmlns:c16="http://schemas.microsoft.com/office/drawing/2014/chart" uri="{C3380CC4-5D6E-409C-BE32-E72D297353CC}">
              <c16:uniqueId val="{00000000-1CA9-41C5-AEC5-8E48130DD645}"/>
            </c:ext>
          </c:extLst>
        </c:ser>
        <c:ser>
          <c:idx val="1"/>
          <c:order val="1"/>
          <c:tx>
            <c:strRef>
              <c:f>BLOTTER!$B$9</c:f>
              <c:strCache>
                <c:ptCount val="1"/>
                <c:pt idx="0">
                  <c:v>PARTICULARS</c:v>
                </c:pt>
              </c:strCache>
            </c:strRef>
          </c:tx>
          <c:invertIfNegative val="0"/>
          <c:val>
            <c:numRef>
              <c:f>BLOTTER!$B$10:$B$40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A9-41C5-AEC5-8E48130DD645}"/>
            </c:ext>
          </c:extLst>
        </c:ser>
        <c:ser>
          <c:idx val="2"/>
          <c:order val="2"/>
          <c:tx>
            <c:strRef>
              <c:f>BLOTTER!$C$9</c:f>
              <c:strCache>
                <c:ptCount val="1"/>
                <c:pt idx="0">
                  <c:v>PARTICULARS</c:v>
                </c:pt>
              </c:strCache>
            </c:strRef>
          </c:tx>
          <c:invertIfNegative val="0"/>
          <c:val>
            <c:numRef>
              <c:f>BLOTTER!$C$10:$C$40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A9-41C5-AEC5-8E48130DD645}"/>
            </c:ext>
          </c:extLst>
        </c:ser>
        <c:ser>
          <c:idx val="3"/>
          <c:order val="3"/>
          <c:tx>
            <c:strRef>
              <c:f>BLOTTER!$D$9</c:f>
              <c:strCache>
                <c:ptCount val="1"/>
                <c:pt idx="0">
                  <c:v>PAYMENTS</c:v>
                </c:pt>
              </c:strCache>
            </c:strRef>
          </c:tx>
          <c:invertIfNegative val="0"/>
          <c:val>
            <c:numRef>
              <c:f>BLOTTER!$D$11:$D$40</c:f>
              <c:numCache>
                <c:formatCode>_(* #,##0.00_);_(* \(#,##0.00\);_(* "-"??_);_(@_)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3-1CA9-41C5-AEC5-8E48130DD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280896"/>
        <c:axId val="131282432"/>
      </c:barChart>
      <c:catAx>
        <c:axId val="13128089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31282432"/>
        <c:crosses val="autoZero"/>
        <c:auto val="1"/>
        <c:lblAlgn val="ctr"/>
        <c:lblOffset val="100"/>
        <c:noMultiLvlLbl val="0"/>
      </c:catAx>
      <c:valAx>
        <c:axId val="131282432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3128089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7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76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76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76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zoomScale="76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zoomScale="7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0230" cy="62915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0230" cy="62915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0230" cy="62915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0230" cy="62915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55</xdr:row>
      <xdr:rowOff>180975</xdr:rowOff>
    </xdr:from>
    <xdr:to>
      <xdr:col>1</xdr:col>
      <xdr:colOff>19050</xdr:colOff>
      <xdr:row>55</xdr:row>
      <xdr:rowOff>180975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C8C2223-D073-1F16-9EC7-F5D205CAAB1E}"/>
            </a:ext>
          </a:extLst>
        </xdr:cNvPr>
        <xdr:cNvCxnSpPr/>
      </xdr:nvCxnSpPr>
      <xdr:spPr>
        <a:xfrm>
          <a:off x="38100" y="10477500"/>
          <a:ext cx="1285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0230" cy="62915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0230" cy="62915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1"/>
  <sheetViews>
    <sheetView tabSelected="1" view="pageBreakPreview" zoomScaleSheetLayoutView="100" workbookViewId="0">
      <selection activeCell="C24" sqref="C24"/>
    </sheetView>
  </sheetViews>
  <sheetFormatPr defaultColWidth="10.28515625" defaultRowHeight="14.25"/>
  <cols>
    <col min="1" max="1" width="19.5703125" style="1" customWidth="1"/>
    <col min="2" max="2" width="27.140625" style="1" customWidth="1"/>
    <col min="3" max="3" width="26.85546875" style="1" customWidth="1"/>
    <col min="4" max="4" width="20.85546875" style="1" customWidth="1"/>
    <col min="5" max="5" width="12.85546875" style="1" bestFit="1" customWidth="1"/>
    <col min="6" max="6" width="20.5703125" style="1" customWidth="1"/>
    <col min="7" max="7" width="14.5703125" style="1" bestFit="1" customWidth="1"/>
    <col min="8" max="8" width="9.28515625" style="1" customWidth="1"/>
    <col min="9" max="16384" width="10.28515625" style="1"/>
  </cols>
  <sheetData>
    <row r="1" spans="1:9" ht="4.5" customHeight="1">
      <c r="B1" s="1">
        <v>0</v>
      </c>
      <c r="C1" s="1">
        <v>0</v>
      </c>
      <c r="D1" s="1" t="s">
        <v>68</v>
      </c>
    </row>
    <row r="2" spans="1:9" ht="18">
      <c r="A2" s="52" t="s">
        <v>58</v>
      </c>
      <c r="B2" s="52"/>
      <c r="C2" s="52"/>
      <c r="D2" s="52"/>
    </row>
    <row r="3" spans="1:9" ht="15.75">
      <c r="A3" s="53" t="s">
        <v>59</v>
      </c>
      <c r="B3" s="53"/>
      <c r="C3" s="53"/>
      <c r="D3" s="53"/>
    </row>
    <row r="4" spans="1:9" ht="15.75">
      <c r="A4" s="10"/>
      <c r="B4" s="55" t="s">
        <v>76</v>
      </c>
      <c r="C4" s="55"/>
      <c r="D4" s="55"/>
      <c r="E4" s="55"/>
    </row>
    <row r="5" spans="1:9" ht="15">
      <c r="A5" s="10"/>
      <c r="B5" s="10"/>
      <c r="C5" s="10"/>
      <c r="D5" s="10"/>
    </row>
    <row r="7" spans="1:9" ht="15.75">
      <c r="A7" s="54" t="s">
        <v>1</v>
      </c>
      <c r="B7" s="54"/>
      <c r="C7" s="54"/>
      <c r="D7" s="54"/>
    </row>
    <row r="8" spans="1:9" ht="15.75">
      <c r="A8" s="48">
        <f ca="1">TODAY()</f>
        <v>45845</v>
      </c>
      <c r="B8" s="10"/>
      <c r="C8" s="10"/>
      <c r="D8" s="10"/>
      <c r="I8" s="22"/>
    </row>
    <row r="9" spans="1:9" ht="15" thickBot="1">
      <c r="A9" s="41" t="s">
        <v>2</v>
      </c>
      <c r="B9" s="39" t="s">
        <v>3</v>
      </c>
      <c r="C9" s="44" t="s">
        <v>3</v>
      </c>
      <c r="D9" s="45" t="s">
        <v>26</v>
      </c>
    </row>
    <row r="10" spans="1:9">
      <c r="A10" s="17">
        <v>1150473.57</v>
      </c>
      <c r="B10" s="35" t="s">
        <v>4</v>
      </c>
      <c r="C10" s="31" t="s">
        <v>57</v>
      </c>
      <c r="D10" s="17"/>
      <c r="E10" s="11"/>
    </row>
    <row r="11" spans="1:9">
      <c r="A11" s="17"/>
      <c r="B11" s="36" t="s">
        <v>65</v>
      </c>
      <c r="C11" s="32" t="s">
        <v>63</v>
      </c>
      <c r="D11" s="3"/>
      <c r="E11" s="11"/>
    </row>
    <row r="12" spans="1:9">
      <c r="A12" s="17"/>
      <c r="B12" s="32" t="s">
        <v>69</v>
      </c>
      <c r="C12" s="33" t="s">
        <v>5</v>
      </c>
      <c r="D12" s="3"/>
      <c r="E12" s="11"/>
    </row>
    <row r="13" spans="1:9">
      <c r="A13" s="17"/>
      <c r="B13" s="37" t="s">
        <v>56</v>
      </c>
      <c r="C13" s="32" t="s">
        <v>61</v>
      </c>
      <c r="D13" s="3"/>
      <c r="E13" s="11"/>
    </row>
    <row r="14" spans="1:9">
      <c r="A14" s="3"/>
      <c r="B14" s="36" t="s">
        <v>60</v>
      </c>
      <c r="C14" s="46" t="s">
        <v>71</v>
      </c>
      <c r="D14" s="17"/>
      <c r="E14" s="11"/>
    </row>
    <row r="15" spans="1:9">
      <c r="A15" s="3"/>
      <c r="B15" s="36" t="s">
        <v>72</v>
      </c>
      <c r="C15" s="49" t="s">
        <v>77</v>
      </c>
      <c r="D15" s="17"/>
      <c r="E15" s="11"/>
      <c r="F15" s="11"/>
    </row>
    <row r="16" spans="1:9">
      <c r="A16" s="3"/>
      <c r="B16" s="36" t="s">
        <v>62</v>
      </c>
      <c r="C16" s="32" t="s">
        <v>64</v>
      </c>
      <c r="D16" s="42"/>
      <c r="E16" s="11"/>
      <c r="F16" s="11"/>
    </row>
    <row r="17" spans="1:7">
      <c r="A17" s="17"/>
      <c r="B17" s="37" t="s">
        <v>66</v>
      </c>
      <c r="C17" s="36" t="s">
        <v>67</v>
      </c>
      <c r="D17" s="17"/>
      <c r="E17" s="11"/>
      <c r="F17" s="11"/>
    </row>
    <row r="18" spans="1:7">
      <c r="A18" s="17"/>
      <c r="B18" s="37" t="s">
        <v>78</v>
      </c>
      <c r="C18" s="30" t="s">
        <v>80</v>
      </c>
      <c r="D18" s="17"/>
      <c r="E18" s="11"/>
    </row>
    <row r="19" spans="1:7">
      <c r="A19" s="42"/>
      <c r="B19" s="34" t="s">
        <v>86</v>
      </c>
      <c r="C19" s="30" t="s">
        <v>81</v>
      </c>
      <c r="D19" s="17"/>
      <c r="E19" s="11"/>
    </row>
    <row r="20" spans="1:7">
      <c r="A20" s="42"/>
      <c r="B20" s="34"/>
      <c r="C20" s="30" t="s">
        <v>82</v>
      </c>
      <c r="D20" s="17"/>
      <c r="E20" s="11"/>
      <c r="F20" s="11"/>
    </row>
    <row r="21" spans="1:7">
      <c r="A21" s="42"/>
      <c r="B21" s="34"/>
      <c r="C21" s="30" t="s">
        <v>83</v>
      </c>
      <c r="D21" s="17"/>
      <c r="E21" s="11"/>
      <c r="F21" s="11"/>
    </row>
    <row r="22" spans="1:7">
      <c r="A22" s="42"/>
      <c r="B22" s="34"/>
      <c r="C22" s="30" t="s">
        <v>84</v>
      </c>
      <c r="D22" s="17"/>
      <c r="E22" s="11"/>
      <c r="F22" s="11"/>
    </row>
    <row r="23" spans="1:7">
      <c r="A23" s="17"/>
      <c r="B23" s="34"/>
      <c r="C23" s="30" t="s">
        <v>85</v>
      </c>
      <c r="D23" s="17"/>
      <c r="E23" s="11"/>
    </row>
    <row r="24" spans="1:7">
      <c r="A24" s="17"/>
      <c r="B24" s="34"/>
      <c r="C24" s="30"/>
      <c r="D24" s="17"/>
      <c r="E24" s="11"/>
    </row>
    <row r="25" spans="1:7">
      <c r="A25" s="17"/>
      <c r="B25" s="34"/>
      <c r="C25" s="30"/>
      <c r="D25" s="17"/>
      <c r="E25" s="11"/>
      <c r="G25" s="11"/>
    </row>
    <row r="26" spans="1:7">
      <c r="A26" s="17"/>
      <c r="B26" s="34"/>
      <c r="C26" s="30"/>
      <c r="D26" s="17"/>
      <c r="E26" s="11"/>
      <c r="G26" s="11"/>
    </row>
    <row r="27" spans="1:7">
      <c r="A27" s="17"/>
      <c r="B27" s="34"/>
      <c r="C27" s="30"/>
      <c r="D27" s="17"/>
      <c r="E27" s="11"/>
      <c r="F27" s="11"/>
    </row>
    <row r="28" spans="1:7">
      <c r="A28" s="42"/>
      <c r="B28" s="34"/>
      <c r="C28" s="30"/>
      <c r="D28" s="17"/>
      <c r="E28" s="11"/>
    </row>
    <row r="29" spans="1:7">
      <c r="A29" s="17"/>
      <c r="B29" s="34"/>
      <c r="C29" s="30"/>
      <c r="D29" s="17"/>
      <c r="E29" s="11"/>
    </row>
    <row r="30" spans="1:7">
      <c r="A30" s="17"/>
      <c r="B30" s="34"/>
      <c r="C30" s="30"/>
      <c r="D30" s="17"/>
      <c r="E30" s="11"/>
    </row>
    <row r="31" spans="1:7">
      <c r="A31" s="17"/>
      <c r="B31" s="34"/>
      <c r="C31" s="30"/>
      <c r="D31" s="17"/>
      <c r="E31" s="11"/>
    </row>
    <row r="32" spans="1:7">
      <c r="A32" s="17"/>
      <c r="B32" s="34"/>
      <c r="C32" s="30"/>
      <c r="D32" s="17"/>
    </row>
    <row r="33" spans="1:4">
      <c r="A33" s="17"/>
      <c r="B33" s="34"/>
      <c r="C33" s="30"/>
      <c r="D33" s="17"/>
    </row>
    <row r="34" spans="1:4">
      <c r="A34" s="17"/>
      <c r="B34" s="34"/>
      <c r="C34" s="30"/>
      <c r="D34" s="17"/>
    </row>
    <row r="35" spans="1:4">
      <c r="A35" s="17"/>
      <c r="B35" s="34"/>
      <c r="C35" s="30"/>
      <c r="D35" s="17"/>
    </row>
    <row r="36" spans="1:4">
      <c r="A36" s="17"/>
      <c r="B36" s="34"/>
      <c r="C36" s="30"/>
      <c r="D36" s="17"/>
    </row>
    <row r="37" spans="1:4">
      <c r="A37" s="17"/>
      <c r="B37" s="34"/>
      <c r="C37" s="30"/>
      <c r="D37" s="17"/>
    </row>
    <row r="38" spans="1:4">
      <c r="A38" s="17"/>
      <c r="B38" s="34"/>
      <c r="C38" s="30"/>
      <c r="D38" s="17"/>
    </row>
    <row r="39" spans="1:4">
      <c r="A39" s="17"/>
      <c r="B39" s="34"/>
      <c r="C39" s="30"/>
      <c r="D39" s="17"/>
    </row>
    <row r="40" spans="1:4">
      <c r="A40" s="17"/>
      <c r="B40" s="34"/>
      <c r="C40" s="30"/>
      <c r="D40" s="17"/>
    </row>
    <row r="41" spans="1:4">
      <c r="A41" s="17"/>
      <c r="B41" s="43"/>
      <c r="C41" s="30"/>
      <c r="D41" s="17"/>
    </row>
    <row r="42" spans="1:4">
      <c r="A42" s="17"/>
      <c r="B42" s="43"/>
      <c r="C42" s="30"/>
      <c r="D42" s="17"/>
    </row>
    <row r="43" spans="1:4">
      <c r="A43" s="17"/>
      <c r="B43" s="43"/>
      <c r="C43" s="30"/>
      <c r="D43" s="17"/>
    </row>
    <row r="44" spans="1:4">
      <c r="A44" s="17"/>
      <c r="B44" s="43"/>
      <c r="C44" s="30"/>
      <c r="D44" s="17"/>
    </row>
    <row r="45" spans="1:4">
      <c r="A45" s="17"/>
      <c r="B45" s="43"/>
      <c r="C45" s="30"/>
      <c r="D45" s="17"/>
    </row>
    <row r="46" spans="1:4">
      <c r="A46" s="17"/>
      <c r="B46" s="43"/>
      <c r="C46" s="30"/>
      <c r="D46" s="17"/>
    </row>
    <row r="47" spans="1:4">
      <c r="A47" s="17"/>
      <c r="B47" s="43"/>
      <c r="C47" s="30"/>
      <c r="D47" s="17"/>
    </row>
    <row r="48" spans="1:4">
      <c r="A48" s="17"/>
      <c r="B48" s="43"/>
      <c r="C48" s="30"/>
      <c r="D48" s="17"/>
    </row>
    <row r="49" spans="1:7">
      <c r="A49" s="17"/>
      <c r="B49" s="43"/>
      <c r="C49" s="30"/>
      <c r="D49" s="17"/>
    </row>
    <row r="50" spans="1:7" ht="40.5" customHeight="1">
      <c r="A50" s="3"/>
      <c r="B50" s="15"/>
      <c r="C50" s="27"/>
      <c r="D50" s="26">
        <f>SUM(D10:D49)</f>
        <v>0</v>
      </c>
      <c r="F50" s="11"/>
      <c r="G50" s="11"/>
    </row>
    <row r="51" spans="1:7" ht="14.25" customHeight="1">
      <c r="A51" s="28">
        <f>SUM(A11:A50)</f>
        <v>0</v>
      </c>
      <c r="B51" s="29"/>
      <c r="C51" s="38" t="s">
        <v>25</v>
      </c>
      <c r="D51" s="26">
        <f>+A10+A51-D50</f>
        <v>1150473.57</v>
      </c>
    </row>
    <row r="52" spans="1:7">
      <c r="A52" s="12"/>
      <c r="B52" s="2"/>
      <c r="C52" s="11"/>
      <c r="D52" s="12"/>
    </row>
    <row r="53" spans="1:7">
      <c r="A53" s="2"/>
      <c r="B53" s="2"/>
      <c r="D53" s="2"/>
    </row>
    <row r="54" spans="1:7">
      <c r="A54" s="25" t="s">
        <v>74</v>
      </c>
      <c r="B54" s="2"/>
      <c r="D54" s="25" t="s">
        <v>0</v>
      </c>
    </row>
    <row r="55" spans="1:7">
      <c r="B55" s="2"/>
      <c r="D55" s="2"/>
    </row>
    <row r="56" spans="1:7" ht="15" thickBot="1">
      <c r="A56" s="2"/>
      <c r="B56" s="2"/>
      <c r="D56" s="13"/>
    </row>
    <row r="57" spans="1:7" ht="25.5">
      <c r="A57" s="50" t="s">
        <v>79</v>
      </c>
      <c r="B57" s="2"/>
      <c r="D57" s="51" t="s">
        <v>70</v>
      </c>
    </row>
    <row r="58" spans="1:7">
      <c r="A58" s="40" t="s">
        <v>75</v>
      </c>
      <c r="B58" s="2"/>
      <c r="D58" s="47" t="s">
        <v>73</v>
      </c>
    </row>
    <row r="59" spans="1:7" ht="12.75" customHeight="1">
      <c r="A59" s="14"/>
      <c r="B59" s="2"/>
      <c r="D59" s="2"/>
    </row>
    <row r="60" spans="1:7" ht="18" hidden="1" customHeight="1">
      <c r="A60" s="2"/>
      <c r="B60" s="2"/>
      <c r="C60" s="2"/>
      <c r="D60" s="2"/>
    </row>
    <row r="61" spans="1:7">
      <c r="A61" s="2"/>
      <c r="B61" s="2"/>
      <c r="C61" s="2"/>
      <c r="D61" s="2"/>
    </row>
    <row r="62" spans="1:7">
      <c r="A62" s="2"/>
      <c r="B62" s="2"/>
      <c r="C62" s="2" t="s">
        <v>6</v>
      </c>
      <c r="D62" s="2"/>
    </row>
    <row r="63" spans="1:7">
      <c r="A63" s="2"/>
      <c r="B63" s="2"/>
      <c r="C63" s="2"/>
      <c r="D63" s="2"/>
    </row>
    <row r="64" spans="1:7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  <row r="67" spans="1:4">
      <c r="A67" s="2"/>
      <c r="B67" s="2"/>
      <c r="C67" s="2"/>
      <c r="D67" s="2"/>
    </row>
    <row r="68" spans="1:4">
      <c r="A68" s="2"/>
      <c r="B68" s="2"/>
      <c r="C68" s="2"/>
      <c r="D68" s="2"/>
    </row>
    <row r="69" spans="1:4">
      <c r="A69" s="2"/>
      <c r="B69" s="2"/>
      <c r="C69" s="2"/>
      <c r="D69" s="2"/>
    </row>
    <row r="70" spans="1:4">
      <c r="A70" s="2"/>
      <c r="B70" s="2"/>
      <c r="C70" s="2"/>
      <c r="D70" s="2"/>
    </row>
    <row r="71" spans="1:4">
      <c r="A71" s="2"/>
      <c r="B71" s="2"/>
      <c r="C71" s="2"/>
      <c r="D71" s="2"/>
    </row>
    <row r="72" spans="1:4">
      <c r="A72" s="2"/>
      <c r="B72" s="2"/>
      <c r="C72" s="2"/>
      <c r="D72" s="2"/>
    </row>
    <row r="73" spans="1:4">
      <c r="A73" s="2"/>
      <c r="B73" s="2"/>
      <c r="C73" s="2"/>
      <c r="D73" s="2"/>
    </row>
    <row r="74" spans="1:4">
      <c r="A74" s="2"/>
      <c r="B74" s="2"/>
      <c r="C74" s="2"/>
    </row>
    <row r="75" spans="1:4">
      <c r="C75" s="2"/>
    </row>
    <row r="76" spans="1:4">
      <c r="C76" s="2"/>
    </row>
    <row r="77" spans="1:4">
      <c r="C77" s="2"/>
    </row>
    <row r="78" spans="1:4">
      <c r="C78" s="2"/>
    </row>
    <row r="79" spans="1:4">
      <c r="C79" s="2"/>
    </row>
    <row r="80" spans="1:4">
      <c r="C80" s="2"/>
    </row>
    <row r="81" spans="3:3">
      <c r="C81" s="2"/>
    </row>
  </sheetData>
  <mergeCells count="4">
    <mergeCell ref="A2:D2"/>
    <mergeCell ref="A3:D3"/>
    <mergeCell ref="A7:D7"/>
    <mergeCell ref="B4:E4"/>
  </mergeCells>
  <phoneticPr fontId="21" type="noConversion"/>
  <printOptions horizontalCentered="1" verticalCentered="1"/>
  <pageMargins left="0.19685039370078741" right="0.19685039370078741" top="0.19685039370078741" bottom="0" header="0.27559055118110237" footer="0.31496062992125984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6:H27"/>
  <sheetViews>
    <sheetView topLeftCell="A4" workbookViewId="0">
      <selection activeCell="E20" sqref="E20"/>
    </sheetView>
  </sheetViews>
  <sheetFormatPr defaultColWidth="9" defaultRowHeight="15"/>
  <cols>
    <col min="1" max="1" width="9.5703125" customWidth="1"/>
    <col min="2" max="2" width="3.140625" customWidth="1"/>
    <col min="3" max="3" width="18.5703125" customWidth="1"/>
    <col min="4" max="4" width="6" customWidth="1"/>
    <col min="5" max="5" width="9.5703125" customWidth="1"/>
    <col min="6" max="6" width="12" customWidth="1"/>
  </cols>
  <sheetData>
    <row r="6" spans="1:6">
      <c r="E6" s="56">
        <v>42733</v>
      </c>
      <c r="F6" s="56"/>
    </row>
    <row r="8" spans="1:6">
      <c r="B8" s="4" t="s">
        <v>23</v>
      </c>
    </row>
    <row r="10" spans="1:6">
      <c r="A10" s="18">
        <v>1</v>
      </c>
      <c r="B10" s="21" t="s">
        <v>8</v>
      </c>
      <c r="C10" s="21"/>
      <c r="D10" s="5" t="s">
        <v>7</v>
      </c>
      <c r="E10" s="6">
        <v>300</v>
      </c>
      <c r="F10" s="7"/>
    </row>
    <row r="11" spans="1:6">
      <c r="A11" s="18">
        <v>2</v>
      </c>
      <c r="B11" s="21" t="s">
        <v>9</v>
      </c>
      <c r="C11" s="21"/>
      <c r="E11" s="6">
        <v>300</v>
      </c>
      <c r="F11" s="7"/>
    </row>
    <row r="12" spans="1:6">
      <c r="A12" s="18">
        <v>3</v>
      </c>
      <c r="B12" s="21" t="s">
        <v>10</v>
      </c>
      <c r="C12" s="21"/>
      <c r="E12" s="6">
        <v>300</v>
      </c>
      <c r="F12" s="9"/>
    </row>
    <row r="13" spans="1:6">
      <c r="A13" s="18">
        <v>4</v>
      </c>
      <c r="B13" s="21" t="s">
        <v>11</v>
      </c>
      <c r="C13" s="21"/>
      <c r="E13" s="6">
        <v>270</v>
      </c>
      <c r="F13" s="9"/>
    </row>
    <row r="14" spans="1:6">
      <c r="A14" s="18">
        <v>5</v>
      </c>
      <c r="B14" s="21" t="s">
        <v>12</v>
      </c>
      <c r="C14" s="21"/>
      <c r="E14" s="6">
        <v>285</v>
      </c>
      <c r="F14" s="9"/>
    </row>
    <row r="15" spans="1:6">
      <c r="A15" s="18">
        <v>6</v>
      </c>
      <c r="B15" s="21" t="s">
        <v>13</v>
      </c>
      <c r="C15" s="21"/>
      <c r="E15" s="6">
        <v>270</v>
      </c>
      <c r="F15" s="9"/>
    </row>
    <row r="16" spans="1:6">
      <c r="A16" s="18">
        <v>7</v>
      </c>
      <c r="B16" s="21" t="s">
        <v>14</v>
      </c>
      <c r="C16" s="21"/>
      <c r="E16" s="6">
        <v>285</v>
      </c>
      <c r="F16" s="9"/>
    </row>
    <row r="17" spans="1:8">
      <c r="A17" s="18">
        <v>8</v>
      </c>
      <c r="B17" s="21" t="s">
        <v>18</v>
      </c>
      <c r="C17" s="21"/>
      <c r="E17" s="6">
        <v>300</v>
      </c>
      <c r="F17" s="7"/>
    </row>
    <row r="18" spans="1:8">
      <c r="A18" s="18">
        <v>9</v>
      </c>
      <c r="B18" s="21" t="s">
        <v>16</v>
      </c>
      <c r="C18" s="21"/>
      <c r="E18" s="6">
        <v>300</v>
      </c>
      <c r="F18" s="9"/>
    </row>
    <row r="19" spans="1:8">
      <c r="A19" s="18">
        <v>10</v>
      </c>
      <c r="B19" s="21" t="s">
        <v>19</v>
      </c>
      <c r="C19" s="21"/>
      <c r="E19" s="6">
        <v>285</v>
      </c>
      <c r="F19" s="9"/>
    </row>
    <row r="20" spans="1:8">
      <c r="A20" s="18">
        <v>11</v>
      </c>
      <c r="B20" s="21" t="s">
        <v>15</v>
      </c>
      <c r="C20" s="21"/>
      <c r="E20" s="6">
        <v>300</v>
      </c>
      <c r="F20" s="7"/>
    </row>
    <row r="21" spans="1:8">
      <c r="A21" s="18">
        <v>12</v>
      </c>
      <c r="B21" s="21" t="s">
        <v>21</v>
      </c>
      <c r="C21" s="21"/>
      <c r="E21" s="6">
        <v>180</v>
      </c>
      <c r="F21" s="9"/>
      <c r="H21" s="6"/>
    </row>
    <row r="22" spans="1:8">
      <c r="A22" s="18">
        <v>13</v>
      </c>
      <c r="B22" s="21" t="s">
        <v>17</v>
      </c>
      <c r="C22" s="21"/>
      <c r="E22" s="8">
        <v>300</v>
      </c>
      <c r="F22" s="9"/>
    </row>
    <row r="23" spans="1:8">
      <c r="A23" s="18">
        <v>14</v>
      </c>
      <c r="B23" s="21" t="s">
        <v>22</v>
      </c>
      <c r="C23" s="21"/>
      <c r="E23" s="8">
        <v>285</v>
      </c>
      <c r="F23" s="7"/>
    </row>
    <row r="24" spans="1:8" ht="15.75" customHeight="1">
      <c r="A24" s="18">
        <v>15</v>
      </c>
      <c r="B24" s="21" t="s">
        <v>20</v>
      </c>
      <c r="C24" s="21"/>
      <c r="E24" s="16">
        <v>180</v>
      </c>
      <c r="F24" s="9"/>
    </row>
    <row r="25" spans="1:8">
      <c r="A25" s="18"/>
    </row>
    <row r="26" spans="1:8" ht="15.75" thickBot="1">
      <c r="D26" s="20" t="s">
        <v>7</v>
      </c>
      <c r="E26" s="19">
        <f>SUM(E10:E24)</f>
        <v>4140</v>
      </c>
    </row>
    <row r="27" spans="1:8" ht="15.75" thickTop="1"/>
  </sheetData>
  <mergeCells count="1">
    <mergeCell ref="E6:F6"/>
  </mergeCells>
  <pageMargins left="0.23888888888888901" right="0.34930555555555598" top="0.75" bottom="0.75" header="0.3" footer="0.3"/>
  <pageSetup paperSize="11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3:H19"/>
  <sheetViews>
    <sheetView workbookViewId="0">
      <selection activeCell="I19" sqref="I19"/>
    </sheetView>
  </sheetViews>
  <sheetFormatPr defaultRowHeight="15"/>
  <cols>
    <col min="2" max="2" width="1.42578125" customWidth="1"/>
    <col min="4" max="4" width="15.85546875" customWidth="1"/>
    <col min="6" max="6" width="1.42578125" customWidth="1"/>
  </cols>
  <sheetData>
    <row r="3" spans="1:8">
      <c r="B3" s="23" t="s">
        <v>27</v>
      </c>
    </row>
    <row r="5" spans="1:8">
      <c r="A5" s="23">
        <v>1</v>
      </c>
      <c r="B5" s="23" t="s">
        <v>24</v>
      </c>
      <c r="C5" s="23" t="s">
        <v>28</v>
      </c>
      <c r="D5" s="23"/>
      <c r="E5" s="23">
        <v>16</v>
      </c>
      <c r="F5" t="s">
        <v>24</v>
      </c>
      <c r="G5" s="23" t="s">
        <v>43</v>
      </c>
      <c r="H5" s="24"/>
    </row>
    <row r="6" spans="1:8">
      <c r="A6" s="23">
        <v>2</v>
      </c>
      <c r="B6" s="23" t="s">
        <v>24</v>
      </c>
      <c r="C6" s="23" t="s">
        <v>29</v>
      </c>
      <c r="D6" s="23"/>
      <c r="E6" s="23">
        <v>17</v>
      </c>
      <c r="F6" t="s">
        <v>24</v>
      </c>
      <c r="G6" s="23" t="s">
        <v>44</v>
      </c>
      <c r="H6" s="24"/>
    </row>
    <row r="7" spans="1:8">
      <c r="A7" s="23">
        <v>3</v>
      </c>
      <c r="B7" s="23" t="s">
        <v>24</v>
      </c>
      <c r="C7" s="23" t="s">
        <v>30</v>
      </c>
      <c r="D7" s="23"/>
      <c r="E7" s="23">
        <v>18</v>
      </c>
      <c r="F7" t="s">
        <v>24</v>
      </c>
      <c r="G7" s="23" t="s">
        <v>45</v>
      </c>
      <c r="H7" s="24"/>
    </row>
    <row r="8" spans="1:8">
      <c r="A8" s="23">
        <v>4</v>
      </c>
      <c r="B8" s="23" t="s">
        <v>24</v>
      </c>
      <c r="C8" s="23" t="s">
        <v>31</v>
      </c>
      <c r="D8" s="23"/>
      <c r="E8" s="23">
        <v>19</v>
      </c>
      <c r="F8" t="s">
        <v>24</v>
      </c>
      <c r="G8" s="23" t="s">
        <v>46</v>
      </c>
      <c r="H8" s="24"/>
    </row>
    <row r="9" spans="1:8">
      <c r="A9" s="23">
        <v>5</v>
      </c>
      <c r="B9" s="23" t="s">
        <v>24</v>
      </c>
      <c r="C9" s="23" t="s">
        <v>32</v>
      </c>
      <c r="D9" s="23"/>
      <c r="E9" s="23">
        <v>20</v>
      </c>
      <c r="F9" t="s">
        <v>24</v>
      </c>
      <c r="G9" s="23" t="s">
        <v>47</v>
      </c>
      <c r="H9" s="24"/>
    </row>
    <row r="10" spans="1:8">
      <c r="A10" s="23">
        <v>6</v>
      </c>
      <c r="B10" s="23" t="s">
        <v>24</v>
      </c>
      <c r="C10" s="23" t="s">
        <v>33</v>
      </c>
      <c r="D10" s="23"/>
      <c r="E10" s="23">
        <v>21</v>
      </c>
      <c r="F10" t="s">
        <v>24</v>
      </c>
      <c r="G10" s="23" t="s">
        <v>48</v>
      </c>
      <c r="H10" s="24"/>
    </row>
    <row r="11" spans="1:8">
      <c r="A11" s="23">
        <v>7</v>
      </c>
      <c r="B11" s="23" t="s">
        <v>24</v>
      </c>
      <c r="C11" s="23" t="s">
        <v>34</v>
      </c>
      <c r="D11" s="23"/>
      <c r="E11" s="23">
        <v>22</v>
      </c>
      <c r="F11" t="s">
        <v>24</v>
      </c>
      <c r="G11" s="23" t="s">
        <v>49</v>
      </c>
      <c r="H11" s="24"/>
    </row>
    <row r="12" spans="1:8">
      <c r="A12" s="23">
        <v>8</v>
      </c>
      <c r="B12" s="23" t="s">
        <v>24</v>
      </c>
      <c r="C12" s="23" t="s">
        <v>35</v>
      </c>
      <c r="D12" s="23"/>
      <c r="E12" s="23">
        <v>23</v>
      </c>
      <c r="F12" t="s">
        <v>24</v>
      </c>
      <c r="G12" s="23" t="s">
        <v>50</v>
      </c>
      <c r="H12" s="24"/>
    </row>
    <row r="13" spans="1:8">
      <c r="A13" s="23">
        <v>9</v>
      </c>
      <c r="B13" s="23" t="s">
        <v>24</v>
      </c>
      <c r="C13" s="23" t="s">
        <v>36</v>
      </c>
      <c r="D13" s="23"/>
      <c r="E13" s="23">
        <v>24</v>
      </c>
      <c r="F13" t="s">
        <v>24</v>
      </c>
      <c r="G13" s="23" t="s">
        <v>51</v>
      </c>
      <c r="H13" s="24"/>
    </row>
    <row r="14" spans="1:8">
      <c r="A14" s="23">
        <v>10</v>
      </c>
      <c r="B14" s="23" t="s">
        <v>24</v>
      </c>
      <c r="C14" s="23" t="s">
        <v>37</v>
      </c>
      <c r="D14" s="23"/>
      <c r="E14" s="23">
        <v>25</v>
      </c>
      <c r="F14" t="s">
        <v>24</v>
      </c>
      <c r="G14" s="23" t="s">
        <v>52</v>
      </c>
      <c r="H14" s="24"/>
    </row>
    <row r="15" spans="1:8">
      <c r="A15" s="23">
        <v>11</v>
      </c>
      <c r="B15" s="23" t="s">
        <v>24</v>
      </c>
      <c r="C15" s="23" t="s">
        <v>38</v>
      </c>
      <c r="D15" s="23"/>
      <c r="E15" s="23">
        <v>26</v>
      </c>
      <c r="F15" t="s">
        <v>24</v>
      </c>
      <c r="G15" s="23" t="s">
        <v>53</v>
      </c>
      <c r="H15" s="24"/>
    </row>
    <row r="16" spans="1:8">
      <c r="A16" s="23">
        <v>12</v>
      </c>
      <c r="B16" s="23" t="s">
        <v>24</v>
      </c>
      <c r="C16" s="23" t="s">
        <v>39</v>
      </c>
      <c r="D16" s="23"/>
      <c r="E16" s="23">
        <v>27</v>
      </c>
      <c r="F16" t="s">
        <v>24</v>
      </c>
      <c r="G16" s="23" t="s">
        <v>54</v>
      </c>
      <c r="H16" s="24"/>
    </row>
    <row r="17" spans="1:8">
      <c r="A17" s="23">
        <v>13</v>
      </c>
      <c r="B17" s="23" t="s">
        <v>24</v>
      </c>
      <c r="C17" s="23" t="s">
        <v>40</v>
      </c>
      <c r="D17" s="23"/>
      <c r="E17" s="23">
        <v>28</v>
      </c>
      <c r="F17" t="s">
        <v>24</v>
      </c>
      <c r="G17" s="23" t="s">
        <v>55</v>
      </c>
      <c r="H17" s="24"/>
    </row>
    <row r="18" spans="1:8">
      <c r="A18" s="23">
        <v>14</v>
      </c>
      <c r="B18" s="23" t="s">
        <v>24</v>
      </c>
      <c r="C18" s="23" t="s">
        <v>41</v>
      </c>
      <c r="D18" s="23"/>
      <c r="E18" s="23">
        <v>29</v>
      </c>
      <c r="F18" t="s">
        <v>24</v>
      </c>
      <c r="G18" s="23"/>
      <c r="H18" s="24"/>
    </row>
    <row r="19" spans="1:8">
      <c r="A19" s="23">
        <v>15</v>
      </c>
      <c r="B19" s="23" t="s">
        <v>24</v>
      </c>
      <c r="C19" s="23" t="s">
        <v>42</v>
      </c>
      <c r="D19" s="23"/>
      <c r="E19" s="23">
        <v>30</v>
      </c>
      <c r="F19" t="s">
        <v>24</v>
      </c>
      <c r="G19" s="23"/>
      <c r="H19" s="2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BLOTTER</vt:lpstr>
      <vt:lpstr>Meal Subsidy</vt:lpstr>
      <vt:lpstr>MyMCC-GC</vt:lpstr>
      <vt:lpstr>Chart1</vt:lpstr>
      <vt:lpstr>Chart2</vt:lpstr>
      <vt:lpstr>Chart4</vt:lpstr>
      <vt:lpstr>Chart6</vt:lpstr>
      <vt:lpstr>Chart3</vt:lpstr>
      <vt:lpstr>Chart5</vt:lpstr>
      <vt:lpstr>BLOTTER!Print_Area</vt:lpstr>
    </vt:vector>
  </TitlesOfParts>
  <Company>Rural Bank of General Trias,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RBGenTrias - Teller2</dc:creator>
  <cp:lastModifiedBy>OURBANK-Teller1</cp:lastModifiedBy>
  <cp:lastPrinted>2025-07-04T08:33:28Z</cp:lastPrinted>
  <dcterms:created xsi:type="dcterms:W3CDTF">2015-02-10T17:07:00Z</dcterms:created>
  <dcterms:modified xsi:type="dcterms:W3CDTF">2025-07-07T00:32:33Z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1033-9.1.0.4674</vt:lpwstr>
  </property>
</Properties>
</file>